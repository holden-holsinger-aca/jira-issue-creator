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Holden.holsinger\source\repos\jira_script\"/>
    </mc:Choice>
  </mc:AlternateContent>
  <xr:revisionPtr revIDLastSave="0" documentId="13_ncr:1_{8BC8D64C-A13A-4BE9-8C8F-1DD6C9BD3564}" xr6:coauthVersionLast="47" xr6:coauthVersionMax="47" xr10:uidLastSave="{00000000-0000-0000-0000-000000000000}"/>
  <bookViews>
    <workbookView xWindow="-23148" yWindow="-108" windowWidth="23256" windowHeight="12456" activeTab="2" xr2:uid="{DA255FFB-AB3C-470D-93CF-890D28C02D91}"/>
  </bookViews>
  <sheets>
    <sheet name="Sheet1" sheetId="1" r:id="rId1"/>
    <sheet name="Sheet2" sheetId="3" r:id="rId2"/>
    <sheet name="config" sheetId="4" r:id="rId3"/>
    <sheet name="info" sheetId="2" r:id="rId4"/>
  </sheets>
  <externalReferences>
    <externalReference r:id="rId5"/>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8" i="1" l="1"/>
  <c r="D19" i="1"/>
  <c r="D20" i="1"/>
  <c r="C2" i="1"/>
  <c r="D13" i="1"/>
  <c r="D8" i="1"/>
  <c r="D7" i="1"/>
  <c r="D6" i="1"/>
  <c r="D5" i="1"/>
  <c r="D4" i="1"/>
  <c r="D3" i="1"/>
  <c r="D2" i="1"/>
  <c r="C20" i="1"/>
  <c r="C19" i="1"/>
  <c r="C18" i="1"/>
  <c r="C17" i="1"/>
  <c r="C16" i="1"/>
  <c r="C15" i="1"/>
  <c r="C14" i="1"/>
  <c r="C13" i="1"/>
  <c r="C12" i="1"/>
  <c r="C11" i="1"/>
  <c r="C10" i="1"/>
  <c r="C9" i="1"/>
  <c r="C8" i="1"/>
  <c r="C7" i="1"/>
  <c r="C6" i="1"/>
  <c r="C5" i="1"/>
  <c r="C4" i="1"/>
  <c r="C3" i="1"/>
  <c r="A2" i="3"/>
  <c r="A3" i="3"/>
  <c r="A4" i="3"/>
  <c r="A5" i="3"/>
  <c r="A6" i="3"/>
  <c r="A7" i="3"/>
  <c r="A8" i="3"/>
  <c r="A9" i="3"/>
  <c r="A10" i="3"/>
  <c r="A11" i="3"/>
  <c r="A12" i="3"/>
  <c r="A13" i="3"/>
  <c r="A14" i="3"/>
  <c r="A15" i="3"/>
  <c r="A16" i="3"/>
  <c r="A17" i="3"/>
  <c r="A18" i="3"/>
  <c r="A19" i="3"/>
  <c r="A20" i="3"/>
  <c r="B20" i="3" l="1"/>
  <c r="C20" i="3"/>
  <c r="B19" i="3"/>
  <c r="E20" i="3"/>
  <c r="B18" i="3"/>
  <c r="C18" i="3"/>
  <c r="C17" i="3"/>
  <c r="B17" i="3"/>
  <c r="E18" i="3"/>
  <c r="C16" i="3"/>
  <c r="B16" i="3"/>
  <c r="E17" i="3"/>
  <c r="B15" i="3"/>
  <c r="C15" i="3"/>
  <c r="B14" i="3"/>
  <c r="E15" i="3"/>
  <c r="C13" i="3"/>
  <c r="B13" i="3"/>
  <c r="E14" i="3"/>
  <c r="B12" i="3"/>
  <c r="C12" i="3"/>
  <c r="B11" i="3"/>
  <c r="E12" i="3"/>
  <c r="B10" i="3"/>
  <c r="E11" i="3"/>
  <c r="B9" i="3"/>
  <c r="E10" i="3"/>
  <c r="B8" i="3"/>
  <c r="E8" i="3"/>
  <c r="B7" i="3"/>
  <c r="F7" i="3"/>
  <c r="B6" i="3"/>
  <c r="F6" i="3"/>
  <c r="J5" i="3"/>
  <c r="F5" i="3"/>
  <c r="J4" i="3"/>
  <c r="F4" i="3"/>
  <c r="E4" i="3"/>
  <c r="B4" i="3"/>
  <c r="J3" i="3"/>
  <c r="H3" i="3"/>
  <c r="H4" i="3" s="1"/>
  <c r="H5" i="3" s="1"/>
  <c r="H6" i="3" s="1"/>
  <c r="H7" i="3" s="1"/>
  <c r="H8" i="3" s="1"/>
  <c r="H9" i="3" s="1"/>
  <c r="H10" i="3" s="1"/>
  <c r="H11" i="3" s="1"/>
  <c r="H12" i="3" s="1"/>
  <c r="H13" i="3" s="1"/>
  <c r="H14" i="3" s="1"/>
  <c r="H15" i="3" s="1"/>
  <c r="H16" i="3" s="1"/>
  <c r="H17" i="3" s="1"/>
  <c r="H18" i="3" s="1"/>
  <c r="H19" i="3" s="1"/>
  <c r="H20" i="3" s="1"/>
  <c r="B3" i="3"/>
  <c r="E3" i="3"/>
  <c r="J2" i="3"/>
  <c r="F2" i="3"/>
  <c r="E2" i="3"/>
  <c r="B2" i="3"/>
  <c r="F3" i="3"/>
  <c r="C9" i="3" l="1"/>
  <c r="C7" i="3"/>
  <c r="E9" i="3"/>
  <c r="E5" i="3"/>
  <c r="E7" i="3"/>
  <c r="E16" i="3"/>
  <c r="C10" i="3"/>
  <c r="F8" i="3"/>
  <c r="C8" i="3"/>
  <c r="C11" i="3"/>
  <c r="C14" i="3"/>
  <c r="C19" i="3"/>
  <c r="E19" i="3"/>
  <c r="E13" i="3"/>
  <c r="C6" i="3"/>
  <c r="F13" i="3"/>
  <c r="E6" i="3"/>
</calcChain>
</file>

<file path=xl/sharedStrings.xml><?xml version="1.0" encoding="utf-8"?>
<sst xmlns="http://schemas.openxmlformats.org/spreadsheetml/2006/main" count="102" uniqueCount="38">
  <si>
    <t>GRW</t>
  </si>
  <si>
    <t>Issue Type</t>
  </si>
  <si>
    <t>ID</t>
  </si>
  <si>
    <t>Notes</t>
  </si>
  <si>
    <t>Bug</t>
  </si>
  <si>
    <t>Task</t>
  </si>
  <si>
    <t>← Most common</t>
  </si>
  <si>
    <t>User Story</t>
  </si>
  <si>
    <t>Epic</t>
  </si>
  <si>
    <t>Dev Story</t>
  </si>
  <si>
    <t>QA Story</t>
  </si>
  <si>
    <t>Sub-Task</t>
  </si>
  <si>
    <t>Project</t>
  </si>
  <si>
    <t>Summary</t>
  </si>
  <si>
    <t>Description</t>
  </si>
  <si>
    <t>Group</t>
  </si>
  <si>
    <t>Onboarding Idea</t>
  </si>
  <si>
    <t>ParentName</t>
  </si>
  <si>
    <t>WorkType</t>
  </si>
  <si>
    <t>Initiative</t>
  </si>
  <si>
    <t>Work item ID</t>
  </si>
  <si>
    <t>Parent</t>
  </si>
  <si>
    <t>Implements</t>
  </si>
  <si>
    <t>Review Workspace</t>
  </si>
  <si>
    <t>As the Product Manager for RW, I need to work with the SME group to define the high level components of their review process so that we can build the appropriate entities in Master Content Library (MCL) that will be required to execute the process in RW.</t>
  </si>
  <si>
    <t>As a onboarding SME, I will populate the MCL Values workbook to define the applicable values and entity mappings for my review process so that these values can be imported into MCL to facilitate content definition.</t>
  </si>
  <si>
    <t>As the Product Manager for RW, I need the values defined by the onboarding SMEs to be made available in MCL to facilitate the content build-out by the SMEs.</t>
  </si>
  <si>
    <t>As an onboarding SME, I need to populate the MCL with all content required for the completion of my group's review process so that we can effeciently and accurately conduct review in RW.</t>
  </si>
  <si>
    <t xml:space="preserve">Add BUs relevant client types in the client types of drop-down field. The relationship between content type and client type will be the same as in MCL </t>
  </si>
  <si>
    <t xml:space="preserve">Add BUs relevant Sections and Categories in the scoping grid </t>
  </si>
  <si>
    <t>The RW Team with work wiht the BU SME to create a Report Template. The template used is attached here IA Combined Review and Mock Report Template BU Version 1.docx and has comments and guidance on the data needed for the report. Following a similar format as the template, track changes is used to show new language and redlining to show language to be removed.</t>
  </si>
  <si>
    <t>GroupName</t>
  </si>
  <si>
    <t>OnboardingIdea</t>
  </si>
  <si>
    <t>PE-3985</t>
  </si>
  <si>
    <t>Epic to link to / self</t>
  </si>
  <si>
    <t>The RW Team with work with the BU SME to create a Report Template. The template used is attached here IA Combined Review and Mock Report Template BU Version 1.docx and has comments and guidance on the data needed for the report. Following a similar format as the template, track changes is used to show new language and redlining to show language to be removed.</t>
  </si>
  <si>
    <t>RW: Configure and document new Review Workspace fields required for this Business Unit (e.g., business‑unit‑specific attributes, risk indicators, workflow flags), including defining field names and types, mapping to underlying data sources, updating screen/transition schemes, validating behavior in lower environments, and confirming with stakeholders that the configuration supports this Business Unit’s review, reporting, and controls requirements.</t>
  </si>
  <si>
    <t>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</si>
</sst>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2"/>
      <color theme="1"/>
      <name val="Calibri"/>
      <family val="2"/>
      <scheme val="minor"/>
    </font>
    <font>
      <b/>
      <sz val="12"/>
      <color theme="1"/>
      <name val="Calibri"/>
      <family val="2"/>
      <scheme val="minor"/>
    </font>
    <font>
      <b/>
      <sz val="11"/>
      <color theme="1"/>
      <name val="Calibri"/>
      <family val="2"/>
      <scheme val="minor"/>
    </font>
    <font>
      <b/>
      <sz val="11"/>
      <color theme="1"/>
      <name val="Arial"/>
      <family val="2"/>
    </font>
  </fonts>
  <fills count="3">
    <fill>
      <patternFill patternType="none"/>
    </fill>
    <fill>
      <patternFill patternType="gray125"/>
    </fill>
    <fill>
      <patternFill patternType="solid">
        <fgColor rgb="FFFFFFFF"/>
        <bgColor indexed="64"/>
      </patternFill>
    </fill>
  </fills>
  <borders count="3">
    <border>
      <left/>
      <right/>
      <top/>
      <bottom/>
      <diagonal/>
    </border>
    <border>
      <left style="medium">
        <color rgb="FFA3A3A3"/>
      </left>
      <right style="medium">
        <color rgb="FFA3A3A3"/>
      </right>
      <top style="medium">
        <color rgb="FFA3A3A3"/>
      </top>
      <bottom style="medium">
        <color rgb="FFA3A3A3"/>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
    <xf numFmtId="0" fontId="0" fillId="0" borderId="0" xfId="0"/>
    <xf numFmtId="0" fontId="0" fillId="0" borderId="0" xfId="0" applyAlignment="1">
      <alignment wrapText="1"/>
    </xf>
    <xf numFmtId="0" fontId="2" fillId="2" borderId="1" xfId="0" applyFont="1" applyFill="1" applyBorder="1" applyAlignment="1">
      <alignment vertical="center" wrapText="1"/>
    </xf>
    <xf numFmtId="0" fontId="1" fillId="2" borderId="1" xfId="0" applyFont="1" applyFill="1" applyBorder="1" applyAlignment="1">
      <alignment vertical="center" wrapText="1"/>
    </xf>
    <xf numFmtId="0" fontId="4" fillId="0" borderId="2" xfId="0" applyFont="1" applyBorder="1"/>
    <xf numFmtId="0" fontId="4" fillId="0" borderId="2" xfId="0" applyFont="1" applyBorder="1" applyAlignment="1">
      <alignment wrapText="1"/>
    </xf>
    <xf numFmtId="0" fontId="0" fillId="0" borderId="2" xfId="0" applyBorder="1"/>
    <xf numFmtId="0" fontId="0" fillId="0" borderId="2" xfId="0" applyBorder="1" applyAlignment="1">
      <alignment wrapText="1"/>
    </xf>
    <xf numFmtId="0" fontId="3" fillId="0" borderId="2"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acacg-my.sharepoint.com/personal/alexander_chisholm_acaglobal_com/Documents/Microsoft%20Teams%20Chat%20Files/RW_Onboarding_Ticket_Template%201.xlsx" TargetMode="External"/><Relationship Id="rId1" Type="http://schemas.openxmlformats.org/officeDocument/2006/relationships/externalLinkPath" Target="https://acacg-my.sharepoint.com/personal/alexander_chisholm_acaglobal_com/Documents/Microsoft%20Teams%20Chat%20Files/RW_Onboarding_Ticket_Template%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mplate"/>
      <sheetName val="Config"/>
    </sheetNames>
    <sheetDataSet>
      <sheetData sheetId="0"/>
      <sheetData sheetId="1">
        <row r="2">
          <cell r="B2" t="str">
            <v>PE-3985</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0"/>
  <sheetViews>
    <sheetView topLeftCell="B1" workbookViewId="0">
      <selection activeCell="E17" sqref="E17:E20"/>
    </sheetView>
  </sheetViews>
  <sheetFormatPr defaultRowHeight="14.4" x14ac:dyDescent="0.3"/>
  <cols>
    <col min="1" max="1" width="9.77734375" bestFit="1" customWidth="1"/>
    <col min="2" max="2" width="7" bestFit="1" customWidth="1"/>
    <col min="3" max="3" width="58.5546875" bestFit="1" customWidth="1"/>
    <col min="4" max="4" width="72.109375" customWidth="1"/>
  </cols>
  <sheetData>
    <row r="1" spans="1:5" x14ac:dyDescent="0.3">
      <c r="A1" s="8" t="s">
        <v>1</v>
      </c>
      <c r="B1" s="8" t="s">
        <v>12</v>
      </c>
      <c r="C1" s="8" t="s">
        <v>13</v>
      </c>
      <c r="D1" s="8" t="s">
        <v>14</v>
      </c>
      <c r="E1" s="8" t="s">
        <v>34</v>
      </c>
    </row>
    <row r="2" spans="1:5" x14ac:dyDescent="0.3">
      <c r="A2" s="6">
        <v>5</v>
      </c>
      <c r="B2" s="6" t="s">
        <v>0</v>
      </c>
      <c r="C2" s="7" t="str">
        <f>"RW: "&amp;config!A2&amp;" - Onboarding Kick-Off"</f>
        <v>RW: APS - Onboarding Kick-Off</v>
      </c>
      <c r="D2" s="6" t="str">
        <f>"Onboarding setup and kickoff operations for "&amp;config!A2</f>
        <v>Onboarding setup and kickoff operations for APS</v>
      </c>
      <c r="E2" s="6">
        <v>1</v>
      </c>
    </row>
    <row r="3" spans="1:5" x14ac:dyDescent="0.3">
      <c r="A3" s="6">
        <v>5</v>
      </c>
      <c r="B3" s="6" t="s">
        <v>0</v>
      </c>
      <c r="C3" s="7" t="str">
        <f>"RW: "&amp;config!A2&amp;" - MCL Setup"</f>
        <v>RW: APS - MCL Setup</v>
      </c>
      <c r="D3" s="6" t="str">
        <f>"MCL Setup for "&amp;config!A2</f>
        <v>MCL Setup for APS</v>
      </c>
      <c r="E3" s="6">
        <v>2</v>
      </c>
    </row>
    <row r="4" spans="1:5" x14ac:dyDescent="0.3">
      <c r="A4" s="6">
        <v>5</v>
      </c>
      <c r="B4" s="6" t="s">
        <v>0</v>
      </c>
      <c r="C4" s="7" t="str">
        <f>"RW: "&amp;config!A2&amp;" - RW Setup"</f>
        <v>RW: APS - RW Setup</v>
      </c>
      <c r="D4" s="6" t="str">
        <f>"RW Setup for "&amp;config!A2</f>
        <v>RW Setup for APS</v>
      </c>
      <c r="E4" s="6">
        <v>3</v>
      </c>
    </row>
    <row r="5" spans="1:5" x14ac:dyDescent="0.3">
      <c r="A5" s="6">
        <v>5</v>
      </c>
      <c r="B5" s="6" t="s">
        <v>0</v>
      </c>
      <c r="C5" s="7" t="str">
        <f>"RW: "&amp;config!A2&amp;" - Onboarding Launch"</f>
        <v>RW: APS - Onboarding Launch</v>
      </c>
      <c r="D5" s="6" t="str">
        <f>"Onboarding finalization and launch operations for "&amp;config!A2</f>
        <v>Onboarding finalization and launch operations for APS</v>
      </c>
      <c r="E5" s="6">
        <v>4</v>
      </c>
    </row>
    <row r="6" spans="1:5" x14ac:dyDescent="0.3">
      <c r="A6" s="6">
        <v>6</v>
      </c>
      <c r="B6" s="6" t="s">
        <v>0</v>
      </c>
      <c r="C6" s="7" t="str">
        <f>"RW: "&amp;config!A2&amp;" - Schedule Kick-Off Meeting"</f>
        <v>RW: APS - Schedule Kick-Off Meeting</v>
      </c>
      <c r="D6" s="6" t="str">
        <f>"As the Product Manager for RW, I want to meet with " &amp;config!A2&amp;" stakeholders to introduce them to the onboarding process and align on roles and expectations."</f>
        <v>As the Product Manager for RW, I want to meet with APS stakeholders to introduce them to the onboarding process and align on roles and expectations.</v>
      </c>
      <c r="E6" s="6">
        <v>1</v>
      </c>
    </row>
    <row r="7" spans="1:5" x14ac:dyDescent="0.3">
      <c r="A7" s="6">
        <v>6</v>
      </c>
      <c r="B7" s="6" t="s">
        <v>0</v>
      </c>
      <c r="C7" s="7" t="str">
        <f>"RW: "&amp;config!A2&amp;" - Establish SME List"</f>
        <v>RW: APS - Establish SME List</v>
      </c>
      <c r="D7" s="6" t="str">
        <f>"As the Product Manager for RW, I need to know which " &amp;config!A2&amp;" stakeholders will be actively participating in the onboarding process as group SMEs so that we can coordinate upcoming onboarding tasks and requirements sessions."</f>
        <v>As the Product Manager for RW, I need to know which APS stakeholders will be actively participating in the onboarding process as group SMEs so that we can coordinate upcoming onboarding tasks and requirements sessions.</v>
      </c>
      <c r="E7" s="6">
        <v>1</v>
      </c>
    </row>
    <row r="8" spans="1:5" x14ac:dyDescent="0.3">
      <c r="A8" s="6">
        <v>6</v>
      </c>
      <c r="B8" s="6" t="s">
        <v>0</v>
      </c>
      <c r="C8" s="7" t="str">
        <f>"RW: "&amp;config!A2&amp;" - Schedule SME Meeting"</f>
        <v>RW: APS - Schedule SME Meeting</v>
      </c>
      <c r="D8" s="6" t="str">
        <f>"As the Product Manager for RW, I want to meet with " &amp;config!A2&amp;" SMEs through scheduled meetings, so that I can understand their onboarding needs."</f>
        <v>As the Product Manager for RW, I want to meet with APS SMEs through scheduled meetings, so that I can understand their onboarding needs.</v>
      </c>
      <c r="E8" s="6">
        <v>1</v>
      </c>
    </row>
    <row r="9" spans="1:5" x14ac:dyDescent="0.3">
      <c r="A9" s="6">
        <v>6</v>
      </c>
      <c r="B9" s="6" t="s">
        <v>0</v>
      </c>
      <c r="C9" s="7" t="str">
        <f>"RW: "&amp;config!A2&amp;" - Define Review Components"</f>
        <v>RW: APS - Define Review Components</v>
      </c>
      <c r="D9" s="6" t="s">
        <v>24</v>
      </c>
      <c r="E9" s="6">
        <v>2</v>
      </c>
    </row>
    <row r="10" spans="1:5" x14ac:dyDescent="0.3">
      <c r="A10" s="6">
        <v>6</v>
      </c>
      <c r="B10" s="6" t="s">
        <v>0</v>
      </c>
      <c r="C10" s="7" t="str">
        <f>"RW: "&amp;config!A2&amp;" - Define MCL Values"</f>
        <v>RW: APS - Define MCL Values</v>
      </c>
      <c r="D10" s="6" t="s">
        <v>25</v>
      </c>
      <c r="E10" s="6">
        <v>2</v>
      </c>
    </row>
    <row r="11" spans="1:5" x14ac:dyDescent="0.3">
      <c r="A11" s="6">
        <v>6</v>
      </c>
      <c r="B11" s="6" t="s">
        <v>0</v>
      </c>
      <c r="C11" s="7" t="str">
        <f>"RW: "&amp;config!A2&amp;" - Load MCL Values"</f>
        <v>RW: APS - Load MCL Values</v>
      </c>
      <c r="D11" s="6" t="s">
        <v>26</v>
      </c>
      <c r="E11" s="6">
        <v>2</v>
      </c>
    </row>
    <row r="12" spans="1:5" x14ac:dyDescent="0.3">
      <c r="A12" s="6">
        <v>6</v>
      </c>
      <c r="B12" s="6" t="s">
        <v>0</v>
      </c>
      <c r="C12" s="7" t="str">
        <f>"RW: "&amp;config!A2&amp;" - Populate MCL Content"</f>
        <v>RW: APS - Populate MCL Content</v>
      </c>
      <c r="D12" s="6" t="s">
        <v>27</v>
      </c>
      <c r="E12" s="6">
        <v>2</v>
      </c>
    </row>
    <row r="13" spans="1:5" x14ac:dyDescent="0.3">
      <c r="A13" s="6">
        <v>6</v>
      </c>
      <c r="B13" s="6" t="s">
        <v>0</v>
      </c>
      <c r="C13" s="7" t="str">
        <f>"RW: "&amp;config!A2&amp;" - Create Content-Type"</f>
        <v>RW: APS - Create Content-Type</v>
      </c>
      <c r="D13" s="6" t="str">
        <f>"As an "&amp;config!A2&amp;" user, I need a content-type available in RW that corresponds with my team's review process so that we can configure the process to fit our needs without impacting other groups."</f>
        <v>As an APS user, I need a content-type available in RW that corresponds with my team's review process so that we can configure the process to fit our needs without impacting other groups.</v>
      </c>
      <c r="E13" s="6">
        <v>3</v>
      </c>
    </row>
    <row r="14" spans="1:5" x14ac:dyDescent="0.3">
      <c r="A14" s="6">
        <v>6</v>
      </c>
      <c r="B14" s="6" t="s">
        <v>0</v>
      </c>
      <c r="C14" s="7" t="str">
        <f>"RW: "&amp;config!A2&amp;" - Configure Client Types"</f>
        <v>RW: APS - Configure Client Types</v>
      </c>
      <c r="D14" s="6" t="s">
        <v>28</v>
      </c>
      <c r="E14" s="6">
        <v>3</v>
      </c>
    </row>
    <row r="15" spans="1:5" x14ac:dyDescent="0.3">
      <c r="A15" s="6">
        <v>6</v>
      </c>
      <c r="B15" s="6" t="s">
        <v>0</v>
      </c>
      <c r="C15" s="7" t="str">
        <f>"RW: "&amp;config!A2&amp;" - Configure Section and Category Scoping"</f>
        <v>RW: APS - Configure Section and Category Scoping</v>
      </c>
      <c r="D15" s="6" t="s">
        <v>29</v>
      </c>
      <c r="E15" s="6">
        <v>3</v>
      </c>
    </row>
    <row r="16" spans="1:5" x14ac:dyDescent="0.3">
      <c r="A16" s="6">
        <v>6</v>
      </c>
      <c r="B16" s="6" t="s">
        <v>0</v>
      </c>
      <c r="C16" s="7" t="str">
        <f>"RW: "&amp;config!A2&amp;" - Create Report Template"</f>
        <v>RW: APS - Create Report Template</v>
      </c>
      <c r="D16" s="6" t="s">
        <v>35</v>
      </c>
      <c r="E16" s="6">
        <v>3</v>
      </c>
    </row>
    <row r="17" spans="1:5" x14ac:dyDescent="0.3">
      <c r="A17" s="6">
        <v>6</v>
      </c>
      <c r="B17" s="6" t="s">
        <v>0</v>
      </c>
      <c r="C17" s="7" t="str">
        <f>"RW: "&amp;config!A2&amp;" - Configure New RW Fields"</f>
        <v>RW: APS - Configure New RW Fields</v>
      </c>
      <c r="D17" s="6" t="s">
        <v>36</v>
      </c>
      <c r="E17" s="6">
        <v>3</v>
      </c>
    </row>
    <row r="18" spans="1:5" x14ac:dyDescent="0.3">
      <c r="A18" s="6">
        <v>6</v>
      </c>
      <c r="B18" s="6" t="s">
        <v>0</v>
      </c>
      <c r="C18" s="7" t="str">
        <f>"RW: "&amp;config!A2&amp;" - Create Launch Plan"</f>
        <v>RW: APS - Create Launch Plan</v>
      </c>
      <c r="D18" s="6" t="str">
        <f>"Develop and document a comprehensive launch plan for " &amp;config!A2&amp;_xlfn._LONGTEXT(" within Review Workspace, detailing objectives, scope, target users, timeline and milestones, stakeholder roles and responsibilities, communication and training plans, go‑live readiness checklist, and post‑launch monitoring to ensure a smooth and well‑coo","rdinated rollout.")</f>
        <v>Develop and document a comprehensive launch plan for APS within Review Workspace, detailing objectives, scope, target users, timeline and milestones, stakeholder roles and responsibilities, communication and training plans, go‑live readiness checklist, and post‑launch monitoring to ensure a smooth and well‑coordinated rollout.</v>
      </c>
      <c r="E18" s="6">
        <v>4</v>
      </c>
    </row>
    <row r="19" spans="1:5" x14ac:dyDescent="0.3">
      <c r="A19" s="6">
        <v>6</v>
      </c>
      <c r="B19" s="6" t="s">
        <v>0</v>
      </c>
      <c r="C19" s="7" t="str">
        <f>"RW: "&amp;config!A2&amp;" - Schedule Training"</f>
        <v>RW: APS - Schedule Training</v>
      </c>
      <c r="D19" s="6" t="str">
        <f>"Coordinate, schedule, and document " &amp;config!A2&amp;_xlfn._LONGTEXT(" training sessions for core user groups (reviewers, approvers, admins), including confirming objectives and audience, aligning on training materials and environment, sending invitations, and capturing attendance and follow‑ups to ensure users are prepared"," for go‑live.")</f>
        <v>Coordinate, schedule, and document APS training sessions for core user groups (reviewers, approvers, admins), including confirming objectives and audience, aligning on training materials and environment, sending invitations, and capturing attendance and follow‑ups to ensure users are prepared for go‑live.</v>
      </c>
      <c r="E19" s="6">
        <v>4</v>
      </c>
    </row>
    <row r="20" spans="1:5" x14ac:dyDescent="0.3">
      <c r="A20" s="6">
        <v>6</v>
      </c>
      <c r="B20" s="6" t="s">
        <v>0</v>
      </c>
      <c r="C20" s="7" t="str">
        <f>"RW: "&amp;config!A2&amp;" - Create Post-Launch Support and Enhancement Agreement"</f>
        <v>RW: APS - Create Post-Launch Support and Enhancement Agreement</v>
      </c>
      <c r="D20" s="6" t="str">
        <f>"RW: Define and document a post‑launch support and enhancement agreement for " &amp;config!A2&amp;", covering ownership, SLAs, communication channels, release cadence, intake process for enhancements, escalation paths, and success metrics to ensure clear ongoing support after go‑live."</f>
        <v>RW: Define and document a post‑launch support and enhancement agreement for APS, covering ownership, SLAs, communication channels, release cadence, intake process for enhancements, escalation paths, and success metrics to ensure clear ongoing support after go‑live.</v>
      </c>
      <c r="E20" s="6">
        <v>4</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8462D-2C23-4F0B-8245-5A6E4F29E98E}">
  <dimension ref="A1:J20"/>
  <sheetViews>
    <sheetView workbookViewId="0">
      <selection activeCell="A2" sqref="A2"/>
    </sheetView>
  </sheetViews>
  <sheetFormatPr defaultRowHeight="14.4" x14ac:dyDescent="0.3"/>
  <cols>
    <col min="1" max="1" width="27.88671875" customWidth="1"/>
    <col min="2" max="2" width="17.21875" bestFit="1" customWidth="1"/>
    <col min="3" max="3" width="31.21875" style="1" customWidth="1"/>
    <col min="4" max="4" width="10.88671875" bestFit="1" customWidth="1"/>
    <col min="5" max="5" width="43.44140625" style="1" customWidth="1"/>
    <col min="6" max="6" width="35.44140625" customWidth="1"/>
    <col min="7" max="7" width="14.5546875" customWidth="1"/>
    <col min="10" max="10" width="12.5546875" bestFit="1" customWidth="1"/>
  </cols>
  <sheetData>
    <row r="1" spans="1:10" x14ac:dyDescent="0.3">
      <c r="A1" s="4" t="s">
        <v>15</v>
      </c>
      <c r="B1" s="4" t="s">
        <v>16</v>
      </c>
      <c r="C1" s="5" t="s">
        <v>17</v>
      </c>
      <c r="D1" s="4" t="s">
        <v>18</v>
      </c>
      <c r="E1" s="5" t="s">
        <v>13</v>
      </c>
      <c r="F1" s="5" t="s">
        <v>14</v>
      </c>
      <c r="G1" s="4" t="s">
        <v>19</v>
      </c>
      <c r="H1" s="4" t="s">
        <v>20</v>
      </c>
      <c r="I1" s="4" t="s">
        <v>21</v>
      </c>
      <c r="J1" s="4" t="s">
        <v>22</v>
      </c>
    </row>
    <row r="2" spans="1:10" ht="28.8" x14ac:dyDescent="0.3">
      <c r="A2" s="6" t="str">
        <f>config!$A$2</f>
        <v>APS</v>
      </c>
      <c r="B2" s="6" t="str">
        <f>[1]Config!$B$2</f>
        <v>PE-3985</v>
      </c>
      <c r="C2" s="5"/>
      <c r="D2" s="6" t="s">
        <v>8</v>
      </c>
      <c r="E2" s="7" t="str">
        <f>"RW: "&amp;A2&amp;" - Onboarding Kick-Off"</f>
        <v>RW: APS - Onboarding Kick-Off</v>
      </c>
      <c r="F2" s="7" t="str">
        <f>"Onboarding setup and kickoff operations for "&amp;A2</f>
        <v>Onboarding setup and kickoff operations for APS</v>
      </c>
      <c r="G2" s="6" t="s">
        <v>23</v>
      </c>
      <c r="H2" s="6">
        <v>1</v>
      </c>
      <c r="I2" s="6"/>
      <c r="J2" s="6" t="str">
        <f>[1]Config!$B$2</f>
        <v>PE-3985</v>
      </c>
    </row>
    <row r="3" spans="1:10" x14ac:dyDescent="0.3">
      <c r="A3" s="6" t="str">
        <f>config!$A$2</f>
        <v>APS</v>
      </c>
      <c r="B3" s="6" t="str">
        <f>[1]Config!$B$2</f>
        <v>PE-3985</v>
      </c>
      <c r="C3" s="5"/>
      <c r="D3" s="6" t="s">
        <v>8</v>
      </c>
      <c r="E3" s="7" t="str">
        <f>"RW: "&amp;A3&amp;" - MCL Setup"</f>
        <v>RW: APS - MCL Setup</v>
      </c>
      <c r="F3" s="7" t="str">
        <f>"MCL Setup for "&amp;A2</f>
        <v>MCL Setup for APS</v>
      </c>
      <c r="G3" s="6" t="s">
        <v>23</v>
      </c>
      <c r="H3" s="6">
        <f>H2+1</f>
        <v>2</v>
      </c>
      <c r="I3" s="6"/>
      <c r="J3" s="6" t="str">
        <f>[1]Config!$B$2</f>
        <v>PE-3985</v>
      </c>
    </row>
    <row r="4" spans="1:10" x14ac:dyDescent="0.3">
      <c r="A4" s="6" t="str">
        <f>config!$A$2</f>
        <v>APS</v>
      </c>
      <c r="B4" s="6" t="str">
        <f>[1]Config!$B$2</f>
        <v>PE-3985</v>
      </c>
      <c r="C4" s="5"/>
      <c r="D4" s="6" t="s">
        <v>8</v>
      </c>
      <c r="E4" s="7" t="str">
        <f>"RW: "&amp;A4&amp;" - RW Setup"</f>
        <v>RW: APS - RW Setup</v>
      </c>
      <c r="F4" s="7" t="str">
        <f>"RW Setup for "&amp;A2</f>
        <v>RW Setup for APS</v>
      </c>
      <c r="G4" s="6" t="s">
        <v>23</v>
      </c>
      <c r="H4" s="6">
        <f t="shared" ref="H4:H20" si="0">H3+1</f>
        <v>3</v>
      </c>
      <c r="I4" s="6"/>
      <c r="J4" s="6" t="str">
        <f>[1]Config!$B$2</f>
        <v>PE-3985</v>
      </c>
    </row>
    <row r="5" spans="1:10" ht="28.8" x14ac:dyDescent="0.3">
      <c r="A5" s="6" t="str">
        <f>config!$A$2</f>
        <v>APS</v>
      </c>
      <c r="B5" s="6"/>
      <c r="C5" s="5"/>
      <c r="D5" s="6" t="s">
        <v>8</v>
      </c>
      <c r="E5" s="7" t="str">
        <f>"RW: "&amp;A20&amp;" - Onboarding Launch"</f>
        <v>RW: APS - Onboarding Launch</v>
      </c>
      <c r="F5" s="7" t="str">
        <f>"Onboarding finalization and launch operations for "&amp;A2</f>
        <v>Onboarding finalization and launch operations for APS</v>
      </c>
      <c r="G5" s="6" t="s">
        <v>23</v>
      </c>
      <c r="H5" s="6">
        <f t="shared" si="0"/>
        <v>4</v>
      </c>
      <c r="I5" s="6"/>
      <c r="J5" s="6" t="str">
        <f>[1]Config!$B$2</f>
        <v>PE-3985</v>
      </c>
    </row>
    <row r="6" spans="1:10" ht="72" x14ac:dyDescent="0.3">
      <c r="A6" s="6" t="str">
        <f>config!$A$2</f>
        <v>APS</v>
      </c>
      <c r="B6" s="6" t="str">
        <f>[1]Config!$B$2</f>
        <v>PE-3985</v>
      </c>
      <c r="C6" s="7" t="str">
        <f>"RW: "&amp;A6&amp;" - Onboarding Kick-Off"</f>
        <v>RW: APS - Onboarding Kick-Off</v>
      </c>
      <c r="D6" s="6" t="s">
        <v>5</v>
      </c>
      <c r="E6" s="7" t="str">
        <f>"RW: "&amp;A6&amp;" - Schedule Kick-Off Meeting"</f>
        <v>RW: APS - Schedule Kick-Off Meeting</v>
      </c>
      <c r="F6" s="7" t="str">
        <f>"As the Product Manager for RW, I want to meet with " &amp;A6&amp;" stakeholders to introduce them to the onboarding process and align on roles and expectations."</f>
        <v>As the Product Manager for RW, I want to meet with APS stakeholders to introduce them to the onboarding process and align on roles and expectations.</v>
      </c>
      <c r="G6" s="6" t="s">
        <v>23</v>
      </c>
      <c r="H6" s="6">
        <f t="shared" si="0"/>
        <v>5</v>
      </c>
      <c r="I6" s="6">
        <v>1</v>
      </c>
      <c r="J6" s="6"/>
    </row>
    <row r="7" spans="1:10" ht="86.4" x14ac:dyDescent="0.3">
      <c r="A7" s="6" t="str">
        <f>config!$A$2</f>
        <v>APS</v>
      </c>
      <c r="B7" s="6" t="str">
        <f>[1]Config!$B$2</f>
        <v>PE-3985</v>
      </c>
      <c r="C7" s="7" t="str">
        <f>"RW: "&amp;A7&amp;" - Onboarding Kick-Off"</f>
        <v>RW: APS - Onboarding Kick-Off</v>
      </c>
      <c r="D7" s="6" t="s">
        <v>5</v>
      </c>
      <c r="E7" s="7" t="str">
        <f>"RW: "&amp;A7&amp;" - Establish SME List"</f>
        <v>RW: APS - Establish SME List</v>
      </c>
      <c r="F7" s="7" t="str">
        <f>"As the Product Manager for RW, I need to know which " &amp;A7&amp;" stakeholders will be actively participating in the onboarding process as group SMEs so that we can coordinate upcoming onboarding tasks and requirements sessions."</f>
        <v>As the Product Manager for RW, I need to know which APS stakeholders will be actively participating in the onboarding process as group SMEs so that we can coordinate upcoming onboarding tasks and requirements sessions.</v>
      </c>
      <c r="G7" s="6" t="s">
        <v>23</v>
      </c>
      <c r="H7" s="6">
        <f t="shared" si="0"/>
        <v>6</v>
      </c>
      <c r="I7" s="6">
        <v>1</v>
      </c>
      <c r="J7" s="6"/>
    </row>
    <row r="8" spans="1:10" ht="57.6" x14ac:dyDescent="0.3">
      <c r="A8" s="6" t="str">
        <f>config!$A$2</f>
        <v>APS</v>
      </c>
      <c r="B8" s="6" t="str">
        <f>[1]Config!$B$2</f>
        <v>PE-3985</v>
      </c>
      <c r="C8" s="7" t="str">
        <f>"RW: "&amp;A8&amp;" - Onboarding Kick-Off"</f>
        <v>RW: APS - Onboarding Kick-Off</v>
      </c>
      <c r="D8" s="6" t="s">
        <v>5</v>
      </c>
      <c r="E8" s="7" t="str">
        <f>"RW: "&amp;A8&amp;" - Schedule SME Meeting"</f>
        <v>RW: APS - Schedule SME Meeting</v>
      </c>
      <c r="F8" s="7" t="str">
        <f>"As the Product Manager for RW, I want to meet with " &amp;A8&amp;" SMEs through scheduled meetings, so that I can understand their onboarding needs."</f>
        <v>As the Product Manager for RW, I want to meet with APS SMEs through scheduled meetings, so that I can understand their onboarding needs.</v>
      </c>
      <c r="G8" s="6" t="s">
        <v>23</v>
      </c>
      <c r="H8" s="6">
        <f t="shared" si="0"/>
        <v>7</v>
      </c>
      <c r="I8" s="6">
        <v>1</v>
      </c>
      <c r="J8" s="6"/>
    </row>
    <row r="9" spans="1:10" ht="100.8" x14ac:dyDescent="0.3">
      <c r="A9" s="6" t="str">
        <f>config!$A$2</f>
        <v>APS</v>
      </c>
      <c r="B9" s="6" t="str">
        <f>[1]Config!$B$2</f>
        <v>PE-3985</v>
      </c>
      <c r="C9" s="7" t="str">
        <f>"RW: "&amp;A9&amp;" - MCL Setup"</f>
        <v>RW: APS - MCL Setup</v>
      </c>
      <c r="D9" s="6" t="s">
        <v>5</v>
      </c>
      <c r="E9" s="7" t="str">
        <f>"RW: "&amp;A8&amp;" - Define Review Components"</f>
        <v>RW: APS - Define Review Components</v>
      </c>
      <c r="F9" s="7" t="s">
        <v>24</v>
      </c>
      <c r="G9" s="6" t="s">
        <v>23</v>
      </c>
      <c r="H9" s="6">
        <f t="shared" si="0"/>
        <v>8</v>
      </c>
      <c r="I9" s="6">
        <v>2</v>
      </c>
      <c r="J9" s="6"/>
    </row>
    <row r="10" spans="1:10" ht="86.4" x14ac:dyDescent="0.3">
      <c r="A10" s="6" t="str">
        <f>config!$A$2</f>
        <v>APS</v>
      </c>
      <c r="B10" s="6" t="str">
        <f>[1]Config!$B$2</f>
        <v>PE-3985</v>
      </c>
      <c r="C10" s="7" t="str">
        <f>"RW: "&amp;A10&amp;" - MCL Setup"</f>
        <v>RW: APS - MCL Setup</v>
      </c>
      <c r="D10" s="6" t="s">
        <v>5</v>
      </c>
      <c r="E10" s="7" t="str">
        <f>"RW: "&amp;A9&amp;" - Define MCL Values"</f>
        <v>RW: APS - Define MCL Values</v>
      </c>
      <c r="F10" s="7" t="s">
        <v>25</v>
      </c>
      <c r="G10" s="6" t="s">
        <v>23</v>
      </c>
      <c r="H10" s="6">
        <f t="shared" si="0"/>
        <v>9</v>
      </c>
      <c r="I10" s="6">
        <v>2</v>
      </c>
      <c r="J10" s="6"/>
    </row>
    <row r="11" spans="1:10" ht="72" x14ac:dyDescent="0.3">
      <c r="A11" s="6" t="str">
        <f>config!$A$2</f>
        <v>APS</v>
      </c>
      <c r="B11" s="6" t="str">
        <f>[1]Config!$B$2</f>
        <v>PE-3985</v>
      </c>
      <c r="C11" s="7" t="str">
        <f>"RW: "&amp;A11&amp;" - MCL Setup"</f>
        <v>RW: APS - MCL Setup</v>
      </c>
      <c r="D11" s="6" t="s">
        <v>5</v>
      </c>
      <c r="E11" s="7" t="str">
        <f>"RW: "&amp;A10&amp;" - Load MCL Values"</f>
        <v>RW: APS - Load MCL Values</v>
      </c>
      <c r="F11" s="7" t="s">
        <v>26</v>
      </c>
      <c r="G11" s="6" t="s">
        <v>23</v>
      </c>
      <c r="H11" s="6">
        <f t="shared" si="0"/>
        <v>10</v>
      </c>
      <c r="I11" s="6">
        <v>2</v>
      </c>
      <c r="J11" s="6"/>
    </row>
    <row r="12" spans="1:10" ht="72" x14ac:dyDescent="0.3">
      <c r="A12" s="6" t="str">
        <f>config!$A$2</f>
        <v>APS</v>
      </c>
      <c r="B12" s="6" t="str">
        <f>[1]Config!$B$2</f>
        <v>PE-3985</v>
      </c>
      <c r="C12" s="7" t="str">
        <f>"RW: "&amp;A12&amp;" - MCL Setup"</f>
        <v>RW: APS - MCL Setup</v>
      </c>
      <c r="D12" s="6" t="s">
        <v>5</v>
      </c>
      <c r="E12" s="7" t="str">
        <f>"RW: "&amp;A11&amp;" - Populate MCL Content"</f>
        <v>RW: APS - Populate MCL Content</v>
      </c>
      <c r="F12" s="7" t="s">
        <v>27</v>
      </c>
      <c r="G12" s="6" t="s">
        <v>23</v>
      </c>
      <c r="H12" s="6">
        <f t="shared" si="0"/>
        <v>11</v>
      </c>
      <c r="I12" s="6">
        <v>2</v>
      </c>
      <c r="J12" s="6"/>
    </row>
    <row r="13" spans="1:10" ht="72" x14ac:dyDescent="0.3">
      <c r="A13" s="6" t="str">
        <f>config!$A$2</f>
        <v>APS</v>
      </c>
      <c r="B13" s="6" t="str">
        <f>[1]Config!$B$2</f>
        <v>PE-3985</v>
      </c>
      <c r="C13" s="7" t="str">
        <f>"RW: "&amp;A13&amp;" - RW Setup"</f>
        <v>RW: APS - RW Setup</v>
      </c>
      <c r="D13" s="6" t="s">
        <v>7</v>
      </c>
      <c r="E13" s="7" t="str">
        <f>"RW: "&amp;A12&amp;" - Create Content-Type"</f>
        <v>RW: APS - Create Content-Type</v>
      </c>
      <c r="F13" s="7" t="str">
        <f>"As an "&amp;A6&amp;" user, I need a content-type available in RW that corresponds with my team's review process so that we can configure the process to fit our needs without impacting other groups."</f>
        <v>As an APS user, I need a content-type available in RW that corresponds with my team's review process so that we can configure the process to fit our needs without impacting other groups.</v>
      </c>
      <c r="G13" s="6" t="s">
        <v>23</v>
      </c>
      <c r="H13" s="6">
        <f t="shared" si="0"/>
        <v>12</v>
      </c>
      <c r="I13" s="6">
        <v>3</v>
      </c>
      <c r="J13" s="6"/>
    </row>
    <row r="14" spans="1:10" ht="57.6" x14ac:dyDescent="0.3">
      <c r="A14" s="6" t="str">
        <f>config!$A$2</f>
        <v>APS</v>
      </c>
      <c r="B14" s="6" t="str">
        <f>[1]Config!$B$2</f>
        <v>PE-3985</v>
      </c>
      <c r="C14" s="7" t="str">
        <f t="shared" ref="C14:C17" si="1">"RW: "&amp;A14&amp;" - RW Setup"</f>
        <v>RW: APS - RW Setup</v>
      </c>
      <c r="D14" s="6" t="s">
        <v>7</v>
      </c>
      <c r="E14" s="7" t="str">
        <f>"RW: "&amp;A13&amp;" - Configure Client Types"</f>
        <v>RW: APS - Configure Client Types</v>
      </c>
      <c r="F14" s="7" t="s">
        <v>28</v>
      </c>
      <c r="G14" s="6" t="s">
        <v>23</v>
      </c>
      <c r="H14" s="6">
        <f t="shared" si="0"/>
        <v>13</v>
      </c>
      <c r="I14" s="6">
        <v>3</v>
      </c>
      <c r="J14" s="6"/>
    </row>
    <row r="15" spans="1:10" ht="28.8" x14ac:dyDescent="0.3">
      <c r="A15" s="6" t="str">
        <f>config!$A$2</f>
        <v>APS</v>
      </c>
      <c r="B15" s="6" t="str">
        <f>[1]Config!$B$2</f>
        <v>PE-3985</v>
      </c>
      <c r="C15" s="7" t="str">
        <f t="shared" si="1"/>
        <v>RW: APS - RW Setup</v>
      </c>
      <c r="D15" s="6" t="s">
        <v>7</v>
      </c>
      <c r="E15" s="7" t="str">
        <f>"RW: "&amp;A14&amp;" - Configure Section and Category Scoping"</f>
        <v>RW: APS - Configure Section and Category Scoping</v>
      </c>
      <c r="F15" s="7" t="s">
        <v>29</v>
      </c>
      <c r="G15" s="6" t="s">
        <v>23</v>
      </c>
      <c r="H15" s="6">
        <f t="shared" si="0"/>
        <v>14</v>
      </c>
      <c r="I15" s="6">
        <v>3</v>
      </c>
      <c r="J15" s="6"/>
    </row>
    <row r="16" spans="1:10" ht="144" x14ac:dyDescent="0.3">
      <c r="A16" s="6" t="str">
        <f>config!$A$2</f>
        <v>APS</v>
      </c>
      <c r="B16" s="6" t="str">
        <f>[1]Config!$B$2</f>
        <v>PE-3985</v>
      </c>
      <c r="C16" s="7" t="str">
        <f t="shared" si="1"/>
        <v>RW: APS - RW Setup</v>
      </c>
      <c r="D16" s="6" t="s">
        <v>7</v>
      </c>
      <c r="E16" s="7" t="str">
        <f>"RW: "&amp;A15&amp;" - Create Report Template"</f>
        <v>RW: APS - Create Report Template</v>
      </c>
      <c r="F16" s="7" t="s">
        <v>30</v>
      </c>
      <c r="G16" s="6" t="s">
        <v>23</v>
      </c>
      <c r="H16" s="6">
        <f t="shared" si="0"/>
        <v>15</v>
      </c>
      <c r="I16" s="6">
        <v>3</v>
      </c>
      <c r="J16" s="6"/>
    </row>
    <row r="17" spans="1:10" x14ac:dyDescent="0.3">
      <c r="A17" s="6" t="str">
        <f>config!$A$2</f>
        <v>APS</v>
      </c>
      <c r="B17" s="6" t="str">
        <f>[1]Config!$B$2</f>
        <v>PE-3985</v>
      </c>
      <c r="C17" s="7" t="str">
        <f t="shared" si="1"/>
        <v>RW: APS - RW Setup</v>
      </c>
      <c r="D17" s="6" t="s">
        <v>7</v>
      </c>
      <c r="E17" s="7" t="str">
        <f>"RW: "&amp;A16&amp;" - Configure New RW Fields"</f>
        <v>RW: APS - Configure New RW Fields</v>
      </c>
      <c r="F17" s="7"/>
      <c r="G17" s="6" t="s">
        <v>23</v>
      </c>
      <c r="H17" s="6">
        <f t="shared" si="0"/>
        <v>16</v>
      </c>
      <c r="I17" s="6">
        <v>3</v>
      </c>
      <c r="J17" s="6"/>
    </row>
    <row r="18" spans="1:10" x14ac:dyDescent="0.3">
      <c r="A18" s="6" t="str">
        <f>config!$A$2</f>
        <v>APS</v>
      </c>
      <c r="B18" s="6" t="str">
        <f>[1]Config!$B$2</f>
        <v>PE-3985</v>
      </c>
      <c r="C18" s="7" t="str">
        <f>"RW: "&amp;A18&amp;" - Onboarding Launch"</f>
        <v>RW: APS - Onboarding Launch</v>
      </c>
      <c r="D18" s="6" t="s">
        <v>5</v>
      </c>
      <c r="E18" s="7" t="str">
        <f>"RW: "&amp;A17&amp;" - Create Launch Plan"</f>
        <v>RW: APS - Create Launch Plan</v>
      </c>
      <c r="F18" s="7"/>
      <c r="G18" s="6" t="s">
        <v>23</v>
      </c>
      <c r="H18" s="6">
        <f t="shared" si="0"/>
        <v>17</v>
      </c>
      <c r="I18" s="6">
        <v>4</v>
      </c>
      <c r="J18" s="6"/>
    </row>
    <row r="19" spans="1:10" x14ac:dyDescent="0.3">
      <c r="A19" s="6" t="str">
        <f>config!$A$2</f>
        <v>APS</v>
      </c>
      <c r="B19" s="6" t="str">
        <f>[1]Config!$B$2</f>
        <v>PE-3985</v>
      </c>
      <c r="C19" s="7" t="str">
        <f>"RW: "&amp;A19&amp;" - Onboarding Launch"</f>
        <v>RW: APS - Onboarding Launch</v>
      </c>
      <c r="D19" s="6" t="s">
        <v>5</v>
      </c>
      <c r="E19" s="7" t="str">
        <f>"RW: "&amp;A18&amp;" - Schedule Training"</f>
        <v>RW: APS - Schedule Training</v>
      </c>
      <c r="F19" s="7"/>
      <c r="G19" s="6" t="s">
        <v>23</v>
      </c>
      <c r="H19" s="6">
        <f t="shared" si="0"/>
        <v>18</v>
      </c>
      <c r="I19" s="6">
        <v>4</v>
      </c>
      <c r="J19" s="6"/>
    </row>
    <row r="20" spans="1:10" ht="28.8" x14ac:dyDescent="0.3">
      <c r="A20" s="6" t="str">
        <f>config!$A$2</f>
        <v>APS</v>
      </c>
      <c r="B20" s="6" t="str">
        <f>[1]Config!$B$2</f>
        <v>PE-3985</v>
      </c>
      <c r="C20" s="7" t="str">
        <f>"RW: "&amp;A20&amp;" - Onboarding Launch"</f>
        <v>RW: APS - Onboarding Launch</v>
      </c>
      <c r="D20" s="6" t="s">
        <v>5</v>
      </c>
      <c r="E20" s="7" t="str">
        <f>"RW: "&amp;A19&amp;" - Create Post-Launch Support and Enhancement Agreement"</f>
        <v>RW: APS - Create Post-Launch Support and Enhancement Agreement</v>
      </c>
      <c r="F20" s="7"/>
      <c r="G20" s="6" t="s">
        <v>23</v>
      </c>
      <c r="H20" s="6">
        <f t="shared" si="0"/>
        <v>19</v>
      </c>
      <c r="I20" s="6">
        <v>4</v>
      </c>
      <c r="J20" s="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F8C77-761D-45AB-900E-6112D43509B5}">
  <sheetPr>
    <tabColor rgb="FF7030A0"/>
  </sheetPr>
  <dimension ref="A1:B2"/>
  <sheetViews>
    <sheetView tabSelected="1" workbookViewId="0">
      <selection activeCell="F10" sqref="F10"/>
    </sheetView>
  </sheetViews>
  <sheetFormatPr defaultRowHeight="14.4" x14ac:dyDescent="0.3"/>
  <cols>
    <col min="1" max="1" width="17.6640625" bestFit="1" customWidth="1"/>
    <col min="2" max="2" width="14.109375" bestFit="1" customWidth="1"/>
  </cols>
  <sheetData>
    <row r="1" spans="1:2" x14ac:dyDescent="0.3">
      <c r="A1" t="s">
        <v>31</v>
      </c>
      <c r="B1" t="s">
        <v>32</v>
      </c>
    </row>
    <row r="2" spans="1:2" x14ac:dyDescent="0.3">
      <c r="A2" t="s">
        <v>37</v>
      </c>
      <c r="B2" t="s">
        <v>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BC341-4204-429D-A45C-A1583D6CDD70}">
  <dimension ref="A1:C8"/>
  <sheetViews>
    <sheetView workbookViewId="0"/>
  </sheetViews>
  <sheetFormatPr defaultRowHeight="14.4" x14ac:dyDescent="0.3"/>
  <sheetData>
    <row r="1" spans="1:3" ht="31.8" thickBot="1" x14ac:dyDescent="0.35">
      <c r="A1" s="2" t="s">
        <v>1</v>
      </c>
      <c r="B1" s="2" t="s">
        <v>2</v>
      </c>
      <c r="C1" s="2" t="s">
        <v>3</v>
      </c>
    </row>
    <row r="2" spans="1:3" ht="16.2" thickBot="1" x14ac:dyDescent="0.35">
      <c r="A2" s="3" t="s">
        <v>4</v>
      </c>
      <c r="B2" s="3">
        <v>1</v>
      </c>
      <c r="C2" s="3"/>
    </row>
    <row r="3" spans="1:3" ht="16.2" thickBot="1" x14ac:dyDescent="0.35">
      <c r="A3" s="3" t="s">
        <v>5</v>
      </c>
      <c r="B3" s="3">
        <v>3</v>
      </c>
      <c r="C3" s="3"/>
    </row>
    <row r="4" spans="1:3" ht="47.4" thickBot="1" x14ac:dyDescent="0.35">
      <c r="A4" s="2" t="s">
        <v>7</v>
      </c>
      <c r="B4" s="2">
        <v>6</v>
      </c>
      <c r="C4" s="3" t="s">
        <v>6</v>
      </c>
    </row>
    <row r="5" spans="1:3" ht="16.2" thickBot="1" x14ac:dyDescent="0.35">
      <c r="A5" s="3" t="s">
        <v>8</v>
      </c>
      <c r="B5" s="3">
        <v>5</v>
      </c>
      <c r="C5" s="3"/>
    </row>
    <row r="6" spans="1:3" ht="31.8" thickBot="1" x14ac:dyDescent="0.35">
      <c r="A6" s="3" t="s">
        <v>9</v>
      </c>
      <c r="B6" s="3">
        <v>10101</v>
      </c>
      <c r="C6" s="3"/>
    </row>
    <row r="7" spans="1:3" ht="31.8" thickBot="1" x14ac:dyDescent="0.35">
      <c r="A7" s="3" t="s">
        <v>10</v>
      </c>
      <c r="B7" s="3">
        <v>10000</v>
      </c>
      <c r="C7" s="3"/>
    </row>
    <row r="8" spans="1:3" ht="31.8" thickBot="1" x14ac:dyDescent="0.35">
      <c r="A8" s="3" t="s">
        <v>11</v>
      </c>
      <c r="B8" s="3">
        <v>14</v>
      </c>
      <c r="C8" s="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Sheet2</vt:lpstr>
      <vt:lpstr>config</vt:lpstr>
      <vt:lpstr>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Holden Holsinger</dc:creator>
  <cp:lastModifiedBy>Holden Holsinger</cp:lastModifiedBy>
  <dcterms:created xsi:type="dcterms:W3CDTF">2015-06-05T18:17:20Z</dcterms:created>
  <dcterms:modified xsi:type="dcterms:W3CDTF">2026-01-21T17:28:28Z</dcterms:modified>
</cp:coreProperties>
</file>